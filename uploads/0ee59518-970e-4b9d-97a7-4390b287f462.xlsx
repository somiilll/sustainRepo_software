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milgoyal/Downloads/"/>
    </mc:Choice>
  </mc:AlternateContent>
  <xr:revisionPtr revIDLastSave="0" documentId="13_ncr:1_{8CBDB149-B3C1-5542-85CC-6DDDCA633B6B}" xr6:coauthVersionLast="47" xr6:coauthVersionMax="47" xr10:uidLastSave="{00000000-0000-0000-0000-000000000000}"/>
  <bookViews>
    <workbookView xWindow="0" yWindow="740" windowWidth="30240" windowHeight="18900" activeTab="6" xr2:uid="{683685E7-2EEE-464F-B53D-28F2D3C92008}"/>
  </bookViews>
  <sheets>
    <sheet name="Summary Sheet" sheetId="4" r:id="rId1"/>
    <sheet name="Scope 1 Emissions" sheetId="5" r:id="rId2"/>
    <sheet name="Scope 1 CO2 Fire Extinguisher" sheetId="7" r:id="rId3"/>
    <sheet name="Scope 1 Stationary Combustion" sheetId="8" r:id="rId4"/>
    <sheet name="Scope 1 Refrigerent" sheetId="6" r:id="rId5"/>
    <sheet name="Scope 2 Emissions FY23-24" sheetId="1" r:id="rId6"/>
    <sheet name="Scope 2 Emissions FY24-25" sheetId="12" r:id="rId7"/>
    <sheet name="Referenc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8" l="1"/>
  <c r="D21" i="8"/>
  <c r="G16" i="1"/>
  <c r="G15" i="1"/>
  <c r="F19" i="8"/>
  <c r="F15" i="12"/>
  <c r="F14" i="12"/>
  <c r="F4" i="12"/>
  <c r="F5" i="12"/>
  <c r="F6" i="12"/>
  <c r="F7" i="12"/>
  <c r="F8" i="12"/>
  <c r="F9" i="12"/>
  <c r="F10" i="12"/>
  <c r="F11" i="12"/>
  <c r="F12" i="12"/>
  <c r="F13" i="12"/>
  <c r="F3" i="12"/>
  <c r="F15" i="1"/>
  <c r="F4" i="1"/>
  <c r="F5" i="1"/>
  <c r="F6" i="1"/>
  <c r="F7" i="1"/>
  <c r="F8" i="1"/>
  <c r="F9" i="1"/>
  <c r="F10" i="1"/>
  <c r="F11" i="1"/>
  <c r="F12" i="1"/>
  <c r="F13" i="1"/>
  <c r="F14" i="1"/>
  <c r="F3" i="1"/>
  <c r="F8" i="5"/>
  <c r="F7" i="5"/>
  <c r="F6" i="5"/>
  <c r="F5" i="5"/>
  <c r="F4" i="5"/>
  <c r="F3" i="5"/>
  <c r="F2" i="5"/>
  <c r="E3" i="5"/>
  <c r="E4" i="5"/>
  <c r="E5" i="5"/>
  <c r="E6" i="5"/>
  <c r="E7" i="5"/>
  <c r="E8" i="5"/>
  <c r="E2" i="5"/>
  <c r="D3" i="4"/>
  <c r="C3" i="4"/>
  <c r="C2" i="5"/>
  <c r="H3" i="7"/>
  <c r="H4" i="7"/>
  <c r="H2" i="7"/>
  <c r="G2" i="7"/>
  <c r="G3" i="7"/>
  <c r="D2" i="8"/>
  <c r="C2" i="8"/>
  <c r="G2" i="8"/>
  <c r="J18" i="8"/>
  <c r="J17" i="8"/>
  <c r="J16" i="8"/>
  <c r="J15" i="8"/>
  <c r="J14" i="8"/>
  <c r="J13" i="8"/>
  <c r="J12" i="8"/>
  <c r="J11" i="8"/>
  <c r="J10" i="8"/>
  <c r="J9" i="8"/>
  <c r="J8" i="8"/>
  <c r="J7" i="8"/>
  <c r="H7" i="8"/>
  <c r="H19" i="8" s="1"/>
  <c r="F2" i="8"/>
  <c r="E18" i="8"/>
  <c r="E17" i="8"/>
  <c r="E16" i="8"/>
  <c r="E15" i="8"/>
  <c r="E14" i="8"/>
  <c r="E13" i="8"/>
  <c r="E12" i="8"/>
  <c r="E11" i="8"/>
  <c r="E10" i="8"/>
  <c r="E9" i="8"/>
  <c r="E8" i="8"/>
  <c r="E7" i="8"/>
  <c r="C7" i="8"/>
  <c r="C19" i="8"/>
  <c r="B15" i="12"/>
  <c r="D14" i="12"/>
  <c r="D13" i="12"/>
  <c r="D12" i="12"/>
  <c r="D11" i="12"/>
  <c r="D10" i="12"/>
  <c r="D9" i="12"/>
  <c r="D8" i="12"/>
  <c r="D7" i="12"/>
  <c r="D6" i="12"/>
  <c r="D5" i="12"/>
  <c r="D4" i="12"/>
  <c r="D3" i="12"/>
  <c r="D15" i="12" s="1"/>
  <c r="D14" i="1"/>
  <c r="D13" i="1"/>
  <c r="D12" i="1"/>
  <c r="D11" i="1"/>
  <c r="D10" i="1"/>
  <c r="D9" i="1"/>
  <c r="D8" i="1"/>
  <c r="D7" i="1"/>
  <c r="D6" i="1"/>
  <c r="D5" i="1"/>
  <c r="D4" i="1"/>
  <c r="D3" i="1"/>
  <c r="E3" i="6"/>
  <c r="E2" i="6"/>
  <c r="C5" i="5"/>
  <c r="D15" i="1" l="1"/>
  <c r="J19" i="8"/>
  <c r="E19" i="8"/>
  <c r="G4" i="7" l="1"/>
  <c r="F3" i="6"/>
  <c r="F2" i="6"/>
  <c r="G2" i="6"/>
  <c r="G3" i="6"/>
  <c r="G4" i="6" s="1"/>
  <c r="D5" i="5" s="1"/>
  <c r="D3" i="6"/>
  <c r="D2" i="6"/>
  <c r="C12" i="3"/>
  <c r="B15" i="1"/>
  <c r="F4" i="8" l="1"/>
  <c r="G4" i="8"/>
  <c r="D2" i="5" s="1"/>
  <c r="H5" i="7"/>
  <c r="D6" i="5" s="1"/>
  <c r="C6" i="5"/>
  <c r="D8" i="5" l="1"/>
  <c r="D2" i="4" s="1"/>
  <c r="D4" i="4" s="1"/>
  <c r="C8" i="5"/>
  <c r="C2" i="4" l="1"/>
  <c r="C4" i="4"/>
  <c r="D6" i="4" s="1"/>
</calcChain>
</file>

<file path=xl/sharedStrings.xml><?xml version="1.0" encoding="utf-8"?>
<sst xmlns="http://schemas.openxmlformats.org/spreadsheetml/2006/main" count="171" uniqueCount="80">
  <si>
    <t>Month</t>
  </si>
  <si>
    <t>Unit</t>
  </si>
  <si>
    <r>
      <t>tCO</t>
    </r>
    <r>
      <rPr>
        <b/>
        <vertAlign val="subscript"/>
        <sz val="11"/>
        <color theme="1"/>
        <rFont val="Tahoma"/>
        <family val="2"/>
      </rPr>
      <t>2</t>
    </r>
  </si>
  <si>
    <t>kWh</t>
  </si>
  <si>
    <t>Total</t>
  </si>
  <si>
    <t>Fuel</t>
  </si>
  <si>
    <r>
      <t>ton CO</t>
    </r>
    <r>
      <rPr>
        <vertAlign val="subscript"/>
        <sz val="11"/>
        <color indexed="56"/>
        <rFont val="Calibri"/>
        <family val="2"/>
      </rPr>
      <t>2</t>
    </r>
    <r>
      <rPr>
        <sz val="11"/>
        <color indexed="56"/>
        <rFont val="Calibri"/>
        <family val="2"/>
      </rPr>
      <t>e</t>
    </r>
  </si>
  <si>
    <r>
      <t>ton CO</t>
    </r>
    <r>
      <rPr>
        <vertAlign val="subscript"/>
        <sz val="11"/>
        <color indexed="56"/>
        <rFont val="Calibri"/>
        <family val="2"/>
      </rPr>
      <t>2</t>
    </r>
  </si>
  <si>
    <r>
      <t>ton CH</t>
    </r>
    <r>
      <rPr>
        <vertAlign val="subscript"/>
        <sz val="11"/>
        <color indexed="56"/>
        <rFont val="Calibri"/>
        <family val="2"/>
      </rPr>
      <t>4</t>
    </r>
  </si>
  <si>
    <r>
      <t>ton N</t>
    </r>
    <r>
      <rPr>
        <vertAlign val="subscript"/>
        <sz val="11"/>
        <color indexed="56"/>
        <rFont val="Calibri"/>
        <family val="2"/>
      </rPr>
      <t>2</t>
    </r>
    <r>
      <rPr>
        <sz val="11"/>
        <color indexed="56"/>
        <rFont val="Calibri"/>
        <family val="2"/>
      </rPr>
      <t>O</t>
    </r>
  </si>
  <si>
    <t>Reference</t>
  </si>
  <si>
    <t>LPG</t>
  </si>
  <si>
    <t>tonnes</t>
  </si>
  <si>
    <t>IPCC</t>
  </si>
  <si>
    <t>Electricity</t>
  </si>
  <si>
    <t>Mwh</t>
  </si>
  <si>
    <t>Diesel</t>
  </si>
  <si>
    <t>kiloliters</t>
  </si>
  <si>
    <t>Petrol</t>
  </si>
  <si>
    <t>Wood</t>
  </si>
  <si>
    <t>India GHG program</t>
  </si>
  <si>
    <t>CNG</t>
  </si>
  <si>
    <t xml:space="preserve">IPCC Guidelines </t>
  </si>
  <si>
    <t>LNG</t>
  </si>
  <si>
    <t>m3</t>
  </si>
  <si>
    <t>Furnace Oil</t>
  </si>
  <si>
    <t>Coal</t>
  </si>
  <si>
    <t>CEA (2024)</t>
  </si>
  <si>
    <t>S.No.</t>
  </si>
  <si>
    <t xml:space="preserve"> Category (Scope)</t>
  </si>
  <si>
    <t xml:space="preserve">Scope 1 </t>
  </si>
  <si>
    <t>Scope 2</t>
  </si>
  <si>
    <t>Sources of Emission</t>
  </si>
  <si>
    <t>Mobile Combustion</t>
  </si>
  <si>
    <t>Stationary Combustion</t>
  </si>
  <si>
    <t>Fugitive Emission</t>
  </si>
  <si>
    <t xml:space="preserve">Refrigerent </t>
  </si>
  <si>
    <t>Others</t>
  </si>
  <si>
    <t>Refrigerent Used</t>
  </si>
  <si>
    <t>qty in Kg (FY 23 -24)</t>
  </si>
  <si>
    <t>R32 A</t>
  </si>
  <si>
    <t>Total Emission</t>
  </si>
  <si>
    <t>Emission in tCO2 (FY 23 - 24)</t>
  </si>
  <si>
    <t>Emission in tCO2 (FY 24 - 25)</t>
  </si>
  <si>
    <t xml:space="preserve">Emission Factor (kgCO2/Kg R32) </t>
  </si>
  <si>
    <t>Qty in Kg (FY 24 -25)</t>
  </si>
  <si>
    <t>CO2 Fire Extinguisher Used</t>
  </si>
  <si>
    <t>Capacity in Kg (FY 23 -24)</t>
  </si>
  <si>
    <t>Qty</t>
  </si>
  <si>
    <t>CO2 Refilling</t>
  </si>
  <si>
    <t>CO2 New Cylinder</t>
  </si>
  <si>
    <t>Fuel Consumption (Diese)</t>
  </si>
  <si>
    <t>liters</t>
  </si>
  <si>
    <t>Qty (FY 23 -24)</t>
  </si>
  <si>
    <t>Qty (FY 24 -25)</t>
  </si>
  <si>
    <t>CO2 Fire Extinguisher</t>
  </si>
  <si>
    <t>Total Emissions (Scope 1 &amp; 2)</t>
  </si>
  <si>
    <t>Emission tCO2 ( FY 24 - 25)</t>
  </si>
  <si>
    <t>kg CO2e</t>
  </si>
  <si>
    <t>UK DEFRA 2025</t>
  </si>
  <si>
    <t>Reference - https://www.toyotabharat.com/toyota-in-india/environment/plant-zero-co2.html</t>
  </si>
  <si>
    <t>Total Electricity Consumed (Renewable)</t>
  </si>
  <si>
    <t>Total Fuel Consumed (Diesel)</t>
  </si>
  <si>
    <t>liter</t>
  </si>
  <si>
    <t>Note : The Sprinkler engine operate only for trial run for the emergency preparedness for the period of 15 mins in a week and consumes 1liter / run of 15 mins, total diesel consumption per month is 4 liters</t>
  </si>
  <si>
    <r>
      <rPr>
        <b/>
        <sz val="11"/>
        <color theme="1"/>
        <rFont val="Aptos Narrow"/>
        <family val="2"/>
        <scheme val="minor"/>
      </rPr>
      <t xml:space="preserve">Note: </t>
    </r>
    <r>
      <rPr>
        <sz val="11"/>
        <color theme="1"/>
        <rFont val="Aptos Narrow"/>
        <family val="2"/>
        <scheme val="minor"/>
      </rPr>
      <t xml:space="preserve"> 2.0Ton A/C - 1200gram Gas topup (1 No.)
               1.5Ton A/C - 1000gram Gas topup (6 No's)</t>
    </r>
  </si>
  <si>
    <t>Capacity in Kg (FY 24 -25)</t>
  </si>
  <si>
    <t>Diesel consumption at Sprinkiling engine</t>
  </si>
  <si>
    <t>Electricity Consumption (FY 2023-2024)</t>
  </si>
  <si>
    <t>Electricity Consumption (FY 2024-2025)</t>
  </si>
  <si>
    <t>Conversion Factors</t>
  </si>
  <si>
    <t>Refrigerant (R32A)</t>
  </si>
  <si>
    <t>IPCC (N2O &amp; CH4 is minimal so not included in the calculation)</t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</si>
  <si>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As 100%  of the consumed electricity is supplied by TKM and TKM Produces its 100% electricity from renewable sources (solar), the Scope 2 emissions are considered as</t>
    </r>
    <r>
      <rPr>
        <b/>
        <sz val="11"/>
        <color theme="1"/>
        <rFont val="Aptos Narrow"/>
        <family val="2"/>
        <scheme val="minor"/>
      </rPr>
      <t xml:space="preserve"> "zero" </t>
    </r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</si>
  <si>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As 100%  of the consumed electricity is supplied by TKM and TKM Produces its 100% electricity from renewable sources (solar), the Scope 2 emissions are considered as </t>
    </r>
    <r>
      <rPr>
        <b/>
        <sz val="11"/>
        <color theme="1"/>
        <rFont val="Aptos Narrow"/>
        <family val="2"/>
        <scheme val="minor"/>
      </rPr>
      <t xml:space="preserve">"zero" </t>
    </r>
  </si>
  <si>
    <r>
      <t>Note: As the emissions from Scope 2 are from renewable energy source, Hence scope 2 emission are considered to be</t>
    </r>
    <r>
      <rPr>
        <b/>
        <sz val="11"/>
        <color theme="1"/>
        <rFont val="Aptos Narrow"/>
        <family val="2"/>
        <scheme val="minor"/>
      </rPr>
      <t xml:space="preserve"> ZERO</t>
    </r>
  </si>
  <si>
    <t>Emission in tCO2 ( FY 24 - 25)</t>
  </si>
  <si>
    <t>Total cumulative emissions in tCO2</t>
  </si>
  <si>
    <t>% Contribution</t>
  </si>
  <si>
    <t>Sum (S1+S2)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</si>
</sst>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??0.00"/>
    <numFmt numFmtId="165" formatCode="??0.000"/>
    <numFmt numFmtId="166" formatCode="??0.0000"/>
    <numFmt numFmtId="167" formatCode="??0.00000"/>
    <numFmt numFmtId="168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Tahoma"/>
      <family val="2"/>
    </font>
    <font>
      <b/>
      <vertAlign val="subscript"/>
      <sz val="11"/>
      <color theme="1"/>
      <name val="Tahoma"/>
      <family val="2"/>
    </font>
    <font>
      <b/>
      <sz val="12"/>
      <color theme="1"/>
      <name val="Arial"/>
      <family val="2"/>
    </font>
    <font>
      <sz val="11"/>
      <color rgb="FF002060"/>
      <name val="Aptos Narrow"/>
      <family val="2"/>
      <scheme val="minor"/>
    </font>
    <font>
      <vertAlign val="subscript"/>
      <sz val="11"/>
      <color indexed="56"/>
      <name val="Calibri"/>
      <family val="2"/>
    </font>
    <font>
      <sz val="11"/>
      <color indexed="56"/>
      <name val="Calibri"/>
      <family val="2"/>
    </font>
    <font>
      <sz val="12"/>
      <color rgb="FF002060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4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8"/>
      <color rgb="FF1A4D2E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F2D0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1" fillId="0" borderId="0"/>
  </cellStyleXfs>
  <cellXfs count="83">
    <xf numFmtId="0" fontId="0" fillId="0" borderId="0" xfId="0"/>
    <xf numFmtId="17" fontId="0" fillId="0" borderId="4" xfId="0" applyNumberFormat="1" applyBorder="1" applyAlignment="1">
      <alignment horizontal="left" vertical="center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Protection="1">
      <protection hidden="1"/>
    </xf>
    <xf numFmtId="0" fontId="0" fillId="0" borderId="8" xfId="0" applyBorder="1" applyAlignment="1" applyProtection="1">
      <alignment horizontal="center"/>
      <protection hidden="1"/>
    </xf>
    <xf numFmtId="165" fontId="7" fillId="0" borderId="8" xfId="2" applyNumberFormat="1" applyFont="1" applyBorder="1" applyAlignment="1" applyProtection="1">
      <alignment horizontal="center" vertical="center"/>
      <protection hidden="1"/>
    </xf>
    <xf numFmtId="164" fontId="7" fillId="0" borderId="8" xfId="2" applyNumberFormat="1" applyFont="1" applyBorder="1" applyAlignment="1" applyProtection="1">
      <alignment horizontal="center" vertical="center"/>
      <protection hidden="1"/>
    </xf>
    <xf numFmtId="165" fontId="7" fillId="0" borderId="8" xfId="3" applyNumberFormat="1" applyFont="1" applyBorder="1" applyAlignment="1" applyProtection="1">
      <alignment horizontal="center" vertical="center"/>
      <protection hidden="1"/>
    </xf>
    <xf numFmtId="165" fontId="10" fillId="0" borderId="8" xfId="3" applyNumberFormat="1" applyFont="1" applyBorder="1" applyAlignment="1">
      <alignment horizontal="left" vertical="center"/>
    </xf>
    <xf numFmtId="165" fontId="7" fillId="0" borderId="8" xfId="3" applyNumberFormat="1" applyFont="1" applyBorder="1" applyAlignment="1">
      <alignment horizontal="center" vertical="center"/>
    </xf>
    <xf numFmtId="167" fontId="7" fillId="0" borderId="8" xfId="3" applyNumberFormat="1" applyFont="1" applyBorder="1" applyAlignment="1">
      <alignment horizontal="center" vertical="center"/>
    </xf>
    <xf numFmtId="165" fontId="7" fillId="0" borderId="8" xfId="4" applyNumberFormat="1" applyFont="1" applyBorder="1" applyAlignment="1">
      <alignment horizontal="center" vertical="center"/>
    </xf>
    <xf numFmtId="0" fontId="0" fillId="0" borderId="8" xfId="0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wrapText="1"/>
      <protection hidden="1"/>
    </xf>
    <xf numFmtId="0" fontId="0" fillId="0" borderId="0" xfId="0" applyAlignment="1">
      <alignment horizontal="center"/>
    </xf>
    <xf numFmtId="0" fontId="7" fillId="4" borderId="8" xfId="1" applyFont="1" applyFill="1" applyBorder="1" applyProtection="1">
      <protection hidden="1"/>
    </xf>
    <xf numFmtId="0" fontId="7" fillId="4" borderId="8" xfId="1" applyFont="1" applyFill="1" applyBorder="1" applyAlignment="1" applyProtection="1">
      <alignment horizontal="center"/>
      <protection hidden="1"/>
    </xf>
    <xf numFmtId="0" fontId="0" fillId="0" borderId="8" xfId="0" applyBorder="1"/>
    <xf numFmtId="166" fontId="7" fillId="0" borderId="8" xfId="3" applyNumberFormat="1" applyFont="1" applyBorder="1" applyAlignment="1" applyProtection="1">
      <alignment horizontal="center" vertical="center"/>
      <protection hidden="1"/>
    </xf>
    <xf numFmtId="0" fontId="0" fillId="0" borderId="8" xfId="0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8" xfId="0" applyFont="1" applyFill="1" applyBorder="1"/>
    <xf numFmtId="0" fontId="0" fillId="0" borderId="8" xfId="0" applyBorder="1" applyAlignment="1">
      <alignment vertical="center"/>
    </xf>
    <xf numFmtId="0" fontId="2" fillId="6" borderId="8" xfId="0" applyFont="1" applyFill="1" applyBorder="1"/>
    <xf numFmtId="2" fontId="0" fillId="0" borderId="8" xfId="0" applyNumberFormat="1" applyBorder="1"/>
    <xf numFmtId="0" fontId="3" fillId="5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5" borderId="8" xfId="0" applyFont="1" applyFill="1" applyBorder="1" applyAlignment="1">
      <alignment vertical="center"/>
    </xf>
    <xf numFmtId="0" fontId="3" fillId="5" borderId="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17" fontId="0" fillId="0" borderId="8" xfId="0" applyNumberFormat="1" applyBorder="1" applyAlignment="1">
      <alignment horizontal="left" vertical="center"/>
    </xf>
    <xf numFmtId="0" fontId="6" fillId="6" borderId="8" xfId="0" applyFont="1" applyFill="1" applyBorder="1"/>
    <xf numFmtId="0" fontId="6" fillId="6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vertical="center"/>
    </xf>
    <xf numFmtId="0" fontId="0" fillId="6" borderId="8" xfId="0" applyFill="1" applyBorder="1" applyAlignment="1">
      <alignment vertical="center"/>
    </xf>
    <xf numFmtId="2" fontId="0" fillId="0" borderId="8" xfId="0" applyNumberFormat="1" applyBorder="1" applyAlignment="1">
      <alignment vertical="center"/>
    </xf>
    <xf numFmtId="0" fontId="2" fillId="6" borderId="11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168" fontId="0" fillId="0" borderId="8" xfId="0" applyNumberFormat="1" applyBorder="1" applyAlignment="1">
      <alignment vertical="center"/>
    </xf>
    <xf numFmtId="168" fontId="2" fillId="6" borderId="8" xfId="0" applyNumberFormat="1" applyFont="1" applyFill="1" applyBorder="1" applyAlignment="1">
      <alignment vertical="center"/>
    </xf>
    <xf numFmtId="168" fontId="0" fillId="0" borderId="8" xfId="0" applyNumberFormat="1" applyBorder="1" applyAlignment="1">
      <alignment horizontal="center"/>
    </xf>
    <xf numFmtId="168" fontId="6" fillId="6" borderId="8" xfId="0" applyNumberFormat="1" applyFont="1" applyFill="1" applyBorder="1" applyAlignment="1">
      <alignment horizontal="center"/>
    </xf>
    <xf numFmtId="168" fontId="0" fillId="0" borderId="8" xfId="0" applyNumberFormat="1" applyBorder="1"/>
    <xf numFmtId="0" fontId="6" fillId="6" borderId="12" xfId="0" applyFont="1" applyFill="1" applyBorder="1"/>
    <xf numFmtId="0" fontId="6" fillId="6" borderId="13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2" fontId="6" fillId="6" borderId="14" xfId="0" applyNumberFormat="1" applyFont="1" applyFill="1" applyBorder="1" applyAlignment="1">
      <alignment horizontal="center"/>
    </xf>
    <xf numFmtId="17" fontId="0" fillId="0" borderId="15" xfId="0" applyNumberFormat="1" applyBorder="1" applyAlignment="1">
      <alignment horizontal="left" vertical="center"/>
    </xf>
    <xf numFmtId="0" fontId="0" fillId="0" borderId="5" xfId="0" applyBorder="1" applyAlignment="1">
      <alignment horizontal="center"/>
    </xf>
    <xf numFmtId="168" fontId="2" fillId="6" borderId="8" xfId="0" applyNumberFormat="1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168" fontId="0" fillId="0" borderId="0" xfId="0" applyNumberFormat="1"/>
    <xf numFmtId="0" fontId="2" fillId="6" borderId="8" xfId="0" applyFont="1" applyFill="1" applyBorder="1" applyAlignment="1">
      <alignment horizontal="right"/>
    </xf>
    <xf numFmtId="0" fontId="2" fillId="6" borderId="9" xfId="0" applyFont="1" applyFill="1" applyBorder="1" applyAlignment="1">
      <alignment horizontal="right" vertical="center" wrapText="1"/>
    </xf>
    <xf numFmtId="0" fontId="2" fillId="6" borderId="10" xfId="0" applyFont="1" applyFill="1" applyBorder="1" applyAlignment="1">
      <alignment horizontal="right" vertical="center" wrapText="1"/>
    </xf>
    <xf numFmtId="0" fontId="2" fillId="6" borderId="9" xfId="0" applyFont="1" applyFill="1" applyBorder="1" applyAlignment="1">
      <alignment horizontal="right" vertical="center"/>
    </xf>
    <xf numFmtId="0" fontId="2" fillId="6" borderId="10" xfId="0" applyFont="1" applyFill="1" applyBorder="1" applyAlignment="1">
      <alignment horizontal="right" vertical="center"/>
    </xf>
    <xf numFmtId="0" fontId="2" fillId="6" borderId="9" xfId="0" applyFont="1" applyFill="1" applyBorder="1" applyAlignment="1">
      <alignment horizontal="right"/>
    </xf>
    <xf numFmtId="0" fontId="2" fillId="6" borderId="11" xfId="0" applyFont="1" applyFill="1" applyBorder="1" applyAlignment="1">
      <alignment horizontal="right"/>
    </xf>
    <xf numFmtId="0" fontId="2" fillId="6" borderId="9" xfId="0" applyFont="1" applyFill="1" applyBorder="1" applyAlignment="1">
      <alignment vertical="center"/>
    </xf>
    <xf numFmtId="0" fontId="2" fillId="6" borderId="11" xfId="0" applyFont="1" applyFill="1" applyBorder="1" applyAlignment="1">
      <alignment vertical="center"/>
    </xf>
    <xf numFmtId="0" fontId="0" fillId="6" borderId="0" xfId="0" applyFill="1" applyAlignment="1">
      <alignment horizontal="center" vertical="center" wrapText="1"/>
    </xf>
    <xf numFmtId="0" fontId="0" fillId="0" borderId="8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2" fillId="6" borderId="10" xfId="0" applyFont="1" applyFill="1" applyBorder="1" applyAlignment="1">
      <alignment horizontal="right"/>
    </xf>
    <xf numFmtId="0" fontId="1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 applyProtection="1">
      <alignment horizontal="center" vertical="center"/>
      <protection hidden="1"/>
    </xf>
    <xf numFmtId="0" fontId="16" fillId="7" borderId="5" xfId="0" applyFont="1" applyFill="1" applyBorder="1" applyAlignment="1" applyProtection="1">
      <alignment horizontal="center" vertical="center"/>
      <protection locked="0"/>
    </xf>
    <xf numFmtId="0" fontId="17" fillId="0" borderId="0" xfId="0" applyFont="1"/>
  </cellXfs>
  <cellStyles count="5">
    <cellStyle name="Normal" xfId="0" builtinId="0"/>
    <cellStyle name="Normal 10" xfId="2" xr:uid="{FF6D9832-ECFF-4467-9B33-8BAFDF458985}"/>
    <cellStyle name="Normal 10 2 2 2" xfId="3" xr:uid="{71E44303-B834-470A-9C5B-4D09998DEBCB}"/>
    <cellStyle name="Normal 19" xfId="1" xr:uid="{C1C1061A-D04A-45FF-AFDC-61ABC16DBC69}"/>
    <cellStyle name="Normal 3" xfId="4" xr:uid="{BF934CE4-ADEB-40C2-9239-085F2F6425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543783</xdr:colOff>
      <xdr:row>2</xdr:row>
      <xdr:rowOff>148802</xdr:rowOff>
    </xdr:from>
    <xdr:to>
      <xdr:col>20</xdr:col>
      <xdr:colOff>300991</xdr:colOff>
      <xdr:row>18</xdr:row>
      <xdr:rowOff>182248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E147B1-2044-991D-86BA-4D1BD24B1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7703" y="1195282"/>
          <a:ext cx="6462808" cy="34370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617220</xdr:colOff>
      <xdr:row>3</xdr:row>
      <xdr:rowOff>100968</xdr:rowOff>
    </xdr:from>
    <xdr:to>
      <xdr:col>23</xdr:col>
      <xdr:colOff>442423</xdr:colOff>
      <xdr:row>23</xdr:row>
      <xdr:rowOff>69218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67C289-F1A5-4545-BE00-D33FC13C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4340" y="1198248"/>
          <a:ext cx="7201363" cy="3839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207B-2B9B-43D1-AD69-DF68B64574C0}">
  <dimension ref="A1:E7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8.83203125" style="17"/>
    <col min="2" max="2" width="25.1640625" customWidth="1"/>
    <col min="3" max="3" width="27.33203125" bestFit="1" customWidth="1"/>
    <col min="4" max="4" width="23.1640625" bestFit="1" customWidth="1"/>
    <col min="5" max="5" width="34.33203125" customWidth="1"/>
  </cols>
  <sheetData>
    <row r="1" spans="1:5" x14ac:dyDescent="0.2">
      <c r="A1" s="23" t="s">
        <v>28</v>
      </c>
      <c r="B1" s="24" t="s">
        <v>29</v>
      </c>
      <c r="C1" s="38" t="s">
        <v>42</v>
      </c>
      <c r="D1" s="24" t="s">
        <v>57</v>
      </c>
    </row>
    <row r="2" spans="1:5" x14ac:dyDescent="0.2">
      <c r="A2" s="31">
        <v>1</v>
      </c>
      <c r="B2" s="25" t="s">
        <v>30</v>
      </c>
      <c r="C2" s="25">
        <f>'Scope 1 Emissions'!C8</f>
        <v>0.12672</v>
      </c>
      <c r="D2" s="44">
        <f>'Scope 1 Emissions'!D8</f>
        <v>5.39262</v>
      </c>
      <c r="E2" s="56"/>
    </row>
    <row r="3" spans="1:5" ht="48" x14ac:dyDescent="0.2">
      <c r="A3" s="31">
        <v>2</v>
      </c>
      <c r="B3" s="25" t="s">
        <v>31</v>
      </c>
      <c r="C3" s="41">
        <f xml:space="preserve"> 0</f>
        <v>0</v>
      </c>
      <c r="D3" s="41">
        <f>0</f>
        <v>0</v>
      </c>
      <c r="E3" s="57" t="s">
        <v>75</v>
      </c>
    </row>
    <row r="4" spans="1:5" x14ac:dyDescent="0.2">
      <c r="A4" s="62" t="s">
        <v>56</v>
      </c>
      <c r="B4" s="62"/>
      <c r="C4" s="55">
        <f>SUM(C2:C3)</f>
        <v>0.12672</v>
      </c>
      <c r="D4" s="55">
        <f>SUM(D2:D3)</f>
        <v>5.39262</v>
      </c>
    </row>
    <row r="6" spans="1:5" x14ac:dyDescent="0.2">
      <c r="B6" s="63" t="s">
        <v>77</v>
      </c>
      <c r="C6" s="64"/>
      <c r="D6" s="55">
        <f>C4+D4</f>
        <v>5.5193399999999997</v>
      </c>
    </row>
    <row r="7" spans="1:5" x14ac:dyDescent="0.2">
      <c r="C7" s="61"/>
    </row>
  </sheetData>
  <mergeCells count="2">
    <mergeCell ref="A4:B4"/>
    <mergeCell ref="B6:C6"/>
  </mergeCells>
  <pageMargins left="0.7" right="0.7" top="0.75" bottom="0.75" header="0.3" footer="0.3"/>
  <headerFooter>
    <oddFooter>&amp;C_x000D_&amp;1#&amp;"Calibri"&amp;10&amp;K000000 Adient –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F820-D39C-4392-92B4-2B7D042084C2}">
  <dimension ref="A1:F10"/>
  <sheetViews>
    <sheetView zoomScale="99" workbookViewId="0">
      <selection activeCell="H4" sqref="H4"/>
    </sheetView>
  </sheetViews>
  <sheetFormatPr baseColWidth="10" defaultColWidth="8.83203125" defaultRowHeight="15" x14ac:dyDescent="0.2"/>
  <cols>
    <col min="1" max="1" width="5.6640625" style="17" customWidth="1"/>
    <col min="2" max="2" width="19.1640625" bestFit="1" customWidth="1"/>
    <col min="3" max="3" width="24.1640625" customWidth="1"/>
    <col min="4" max="4" width="26.1640625" customWidth="1"/>
    <col min="5" max="5" width="12.83203125" customWidth="1"/>
    <col min="6" max="6" width="12.1640625" customWidth="1"/>
  </cols>
  <sheetData>
    <row r="1" spans="1:6" ht="27.5" customHeight="1" x14ac:dyDescent="0.2">
      <c r="A1" s="38" t="s">
        <v>28</v>
      </c>
      <c r="B1" s="39" t="s">
        <v>32</v>
      </c>
      <c r="C1" s="38" t="s">
        <v>42</v>
      </c>
      <c r="D1" s="59" t="s">
        <v>76</v>
      </c>
      <c r="E1" s="59" t="s">
        <v>79</v>
      </c>
      <c r="F1" s="59" t="s">
        <v>78</v>
      </c>
    </row>
    <row r="2" spans="1:6" x14ac:dyDescent="0.2">
      <c r="A2" s="25">
        <v>1</v>
      </c>
      <c r="B2" s="25" t="s">
        <v>34</v>
      </c>
      <c r="C2" s="44">
        <f>('Scope 1 Stationary Combustion'!F4)</f>
        <v>0.12672</v>
      </c>
      <c r="D2" s="44">
        <f>'Scope 1 Stationary Combustion'!G4</f>
        <v>0.12672</v>
      </c>
      <c r="E2" s="44">
        <f>SUM(C2:D2)</f>
        <v>0.25344</v>
      </c>
      <c r="F2" s="27">
        <f>E2/E8*100</f>
        <v>4.5918533737729517</v>
      </c>
    </row>
    <row r="3" spans="1:6" x14ac:dyDescent="0.2">
      <c r="A3" s="25">
        <v>2</v>
      </c>
      <c r="B3" s="25" t="s">
        <v>33</v>
      </c>
      <c r="C3" s="44">
        <v>0</v>
      </c>
      <c r="D3" s="44">
        <v>0</v>
      </c>
      <c r="E3" s="44">
        <f t="shared" ref="E3:E8" si="0">SUM(C3:D3)</f>
        <v>0</v>
      </c>
      <c r="F3" s="27">
        <f>E3/E8*100</f>
        <v>0</v>
      </c>
    </row>
    <row r="4" spans="1:6" x14ac:dyDescent="0.2">
      <c r="A4" s="25">
        <v>3</v>
      </c>
      <c r="B4" s="25" t="s">
        <v>35</v>
      </c>
      <c r="C4" s="44">
        <v>0</v>
      </c>
      <c r="D4" s="44">
        <v>0</v>
      </c>
      <c r="E4" s="44">
        <f t="shared" si="0"/>
        <v>0</v>
      </c>
      <c r="F4" s="27">
        <f>E4/E8*100</f>
        <v>0</v>
      </c>
    </row>
    <row r="5" spans="1:6" x14ac:dyDescent="0.2">
      <c r="A5" s="25">
        <v>4</v>
      </c>
      <c r="B5" s="25" t="s">
        <v>36</v>
      </c>
      <c r="C5" s="44">
        <f>'Scope 1 Refrigerent'!F4</f>
        <v>0</v>
      </c>
      <c r="D5" s="44">
        <f>'Scope 1 Refrigerent'!G4</f>
        <v>4.8744000000000005</v>
      </c>
      <c r="E5" s="44">
        <f t="shared" si="0"/>
        <v>4.8744000000000005</v>
      </c>
      <c r="F5" s="27">
        <f>E5/E8*100</f>
        <v>88.314907217167288</v>
      </c>
    </row>
    <row r="6" spans="1:6" x14ac:dyDescent="0.2">
      <c r="A6" s="25">
        <v>5</v>
      </c>
      <c r="B6" s="25" t="s">
        <v>55</v>
      </c>
      <c r="C6" s="44">
        <f>'Scope 1 CO2 Fire Extinguisher'!G5</f>
        <v>0</v>
      </c>
      <c r="D6" s="44">
        <f>'Scope 1 CO2 Fire Extinguisher'!H5</f>
        <v>0.39150000000000001</v>
      </c>
      <c r="E6" s="44">
        <f t="shared" si="0"/>
        <v>0.39150000000000001</v>
      </c>
      <c r="F6" s="27">
        <f>E6/E8*100</f>
        <v>7.0932394090597786</v>
      </c>
    </row>
    <row r="7" spans="1:6" x14ac:dyDescent="0.2">
      <c r="A7" s="25">
        <v>6</v>
      </c>
      <c r="B7" s="25" t="s">
        <v>37</v>
      </c>
      <c r="C7" s="44">
        <v>0</v>
      </c>
      <c r="D7" s="44">
        <v>0</v>
      </c>
      <c r="E7" s="44">
        <f t="shared" si="0"/>
        <v>0</v>
      </c>
      <c r="F7" s="27">
        <f>E7/E8*100</f>
        <v>0</v>
      </c>
    </row>
    <row r="8" spans="1:6" x14ac:dyDescent="0.2">
      <c r="A8" s="65" t="s">
        <v>4</v>
      </c>
      <c r="B8" s="66"/>
      <c r="C8" s="45">
        <f>SUM(C2:C7)</f>
        <v>0.12672</v>
      </c>
      <c r="D8" s="45">
        <f>SUM(D2:D7)</f>
        <v>5.39262</v>
      </c>
      <c r="E8" s="44">
        <f t="shared" si="0"/>
        <v>5.5193399999999997</v>
      </c>
      <c r="F8" s="27">
        <f>E8/E8*100</f>
        <v>100</v>
      </c>
    </row>
    <row r="10" spans="1:6" ht="23" customHeight="1" x14ac:dyDescent="0.2"/>
  </sheetData>
  <mergeCells count="1">
    <mergeCell ref="A8:B8"/>
  </mergeCells>
  <pageMargins left="0.7" right="0.7" top="0.75" bottom="0.75" header="0.3" footer="0.3"/>
  <headerFooter>
    <oddFooter>&amp;C_x000D_&amp;1#&amp;"Calibri"&amp;10&amp;K000000 Adient –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3DF6-9756-497A-88C3-E4A752C6B684}">
  <dimension ref="A1:H5"/>
  <sheetViews>
    <sheetView zoomScale="139" workbookViewId="0">
      <selection activeCell="H5" sqref="H5"/>
    </sheetView>
  </sheetViews>
  <sheetFormatPr baseColWidth="10" defaultColWidth="8.83203125" defaultRowHeight="15" x14ac:dyDescent="0.2"/>
  <cols>
    <col min="1" max="1" width="5.5" style="17" bestFit="1" customWidth="1"/>
    <col min="2" max="2" width="23.5" bestFit="1" customWidth="1"/>
    <col min="3" max="3" width="7.1640625" customWidth="1"/>
    <col min="4" max="4" width="22" bestFit="1" customWidth="1"/>
    <col min="5" max="5" width="9.5" customWidth="1"/>
    <col min="6" max="6" width="26.5" bestFit="1" customWidth="1"/>
    <col min="7" max="7" width="23.33203125" bestFit="1" customWidth="1"/>
    <col min="8" max="8" width="23.6640625" bestFit="1" customWidth="1"/>
  </cols>
  <sheetData>
    <row r="1" spans="1:8" x14ac:dyDescent="0.2">
      <c r="A1" s="23" t="s">
        <v>28</v>
      </c>
      <c r="B1" s="24" t="s">
        <v>46</v>
      </c>
      <c r="C1" s="24" t="s">
        <v>48</v>
      </c>
      <c r="D1" s="24" t="s">
        <v>47</v>
      </c>
      <c r="E1" s="24" t="s">
        <v>48</v>
      </c>
      <c r="F1" s="24" t="s">
        <v>66</v>
      </c>
      <c r="G1" s="24" t="s">
        <v>42</v>
      </c>
      <c r="H1" s="24" t="s">
        <v>43</v>
      </c>
    </row>
    <row r="2" spans="1:8" x14ac:dyDescent="0.2">
      <c r="A2" s="22">
        <v>1</v>
      </c>
      <c r="B2" s="20" t="s">
        <v>49</v>
      </c>
      <c r="C2" s="20">
        <v>0</v>
      </c>
      <c r="D2" s="20">
        <v>0</v>
      </c>
      <c r="E2" s="20">
        <v>27</v>
      </c>
      <c r="F2" s="20">
        <v>4.5</v>
      </c>
      <c r="G2" s="20">
        <f>(C2*D2)/1000</f>
        <v>0</v>
      </c>
      <c r="H2" s="20">
        <f>(E2*F2)/1000</f>
        <v>0.1215</v>
      </c>
    </row>
    <row r="3" spans="1:8" x14ac:dyDescent="0.2">
      <c r="A3" s="22">
        <v>2</v>
      </c>
      <c r="B3" s="20" t="s">
        <v>49</v>
      </c>
      <c r="C3" s="20">
        <v>0</v>
      </c>
      <c r="D3" s="20">
        <v>0</v>
      </c>
      <c r="E3" s="20">
        <v>7</v>
      </c>
      <c r="F3" s="20">
        <v>22.5</v>
      </c>
      <c r="G3" s="20">
        <f>(C3*D3)/1000</f>
        <v>0</v>
      </c>
      <c r="H3" s="20">
        <f t="shared" ref="H3:H4" si="0">(E3*F3)/1000</f>
        <v>0.1575</v>
      </c>
    </row>
    <row r="4" spans="1:8" x14ac:dyDescent="0.2">
      <c r="A4" s="22">
        <v>3</v>
      </c>
      <c r="B4" s="20" t="s">
        <v>50</v>
      </c>
      <c r="C4" s="20">
        <v>0</v>
      </c>
      <c r="D4" s="20">
        <v>0</v>
      </c>
      <c r="E4" s="20">
        <v>25</v>
      </c>
      <c r="F4" s="20">
        <v>4.5</v>
      </c>
      <c r="G4" s="20">
        <f>(C4*D4)/1000</f>
        <v>0</v>
      </c>
      <c r="H4" s="20">
        <f t="shared" si="0"/>
        <v>0.1125</v>
      </c>
    </row>
    <row r="5" spans="1:8" x14ac:dyDescent="0.2">
      <c r="A5" s="67" t="s">
        <v>41</v>
      </c>
      <c r="B5" s="68"/>
      <c r="C5" s="26"/>
      <c r="D5" s="26"/>
      <c r="E5" s="26"/>
      <c r="F5" s="26"/>
      <c r="G5" s="26"/>
      <c r="H5" s="26">
        <f>SUM(H2:H4)</f>
        <v>0.39150000000000001</v>
      </c>
    </row>
  </sheetData>
  <mergeCells count="1">
    <mergeCell ref="A5:B5"/>
  </mergeCells>
  <pageMargins left="0.7" right="0.7" top="0.75" bottom="0.75" header="0.3" footer="0.3"/>
  <headerFooter>
    <oddFooter>&amp;C_x000D_&amp;1#&amp;"Calibri"&amp;10&amp;K000000 Adient –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CA2D-B726-4B2C-A355-830FC6438B87}">
  <dimension ref="A1:P23"/>
  <sheetViews>
    <sheetView zoomScale="109" zoomScaleNormal="85" workbookViewId="0">
      <selection activeCell="H23" sqref="H23"/>
    </sheetView>
  </sheetViews>
  <sheetFormatPr baseColWidth="10" defaultColWidth="8.83203125" defaultRowHeight="15" x14ac:dyDescent="0.2"/>
  <cols>
    <col min="1" max="1" width="5.5" style="17" bestFit="1" customWidth="1"/>
    <col min="2" max="2" width="12.33203125" customWidth="1"/>
    <col min="3" max="3" width="12.83203125" bestFit="1" customWidth="1"/>
    <col min="4" max="4" width="12.83203125" customWidth="1"/>
    <col min="5" max="5" width="9.5" customWidth="1"/>
    <col min="6" max="6" width="13" customWidth="1"/>
    <col min="7" max="7" width="15.5" customWidth="1"/>
  </cols>
  <sheetData>
    <row r="1" spans="1:16" ht="48" x14ac:dyDescent="0.2">
      <c r="A1" s="39" t="s">
        <v>28</v>
      </c>
      <c r="B1" s="39" t="s">
        <v>51</v>
      </c>
      <c r="C1" s="39" t="s">
        <v>53</v>
      </c>
      <c r="D1" s="39" t="s">
        <v>54</v>
      </c>
      <c r="E1" s="39" t="s">
        <v>1</v>
      </c>
      <c r="F1" s="59" t="s">
        <v>42</v>
      </c>
      <c r="G1" s="58" t="s">
        <v>43</v>
      </c>
    </row>
    <row r="2" spans="1:16" ht="62" customHeight="1" x14ac:dyDescent="0.2">
      <c r="A2" s="25">
        <v>1</v>
      </c>
      <c r="B2" s="60" t="s">
        <v>67</v>
      </c>
      <c r="C2" s="40">
        <f>C19</f>
        <v>48</v>
      </c>
      <c r="D2" s="40">
        <f>H19</f>
        <v>48</v>
      </c>
      <c r="E2" s="25" t="s">
        <v>52</v>
      </c>
      <c r="F2" s="44">
        <f>E19</f>
        <v>0.12672</v>
      </c>
      <c r="G2" s="44">
        <f>J19</f>
        <v>0.12672</v>
      </c>
    </row>
    <row r="3" spans="1:16" x14ac:dyDescent="0.2">
      <c r="A3" s="25"/>
      <c r="B3" s="25"/>
      <c r="C3" s="25"/>
      <c r="D3" s="25"/>
      <c r="E3" s="25"/>
      <c r="F3" s="44"/>
      <c r="G3" s="44"/>
    </row>
    <row r="4" spans="1:16" x14ac:dyDescent="0.2">
      <c r="A4" s="69" t="s">
        <v>41</v>
      </c>
      <c r="B4" s="70"/>
      <c r="C4" s="70"/>
      <c r="D4" s="42"/>
      <c r="E4" s="43"/>
      <c r="F4" s="45">
        <f>SUM(F2:F3)</f>
        <v>0.12672</v>
      </c>
      <c r="G4" s="45">
        <f>SUM(G2:G3)</f>
        <v>0.12672</v>
      </c>
    </row>
    <row r="6" spans="1:16" ht="75" x14ac:dyDescent="0.2">
      <c r="B6" s="32" t="s">
        <v>0</v>
      </c>
      <c r="C6" s="33" t="s">
        <v>62</v>
      </c>
      <c r="D6" s="34" t="s">
        <v>1</v>
      </c>
      <c r="E6" s="34" t="s">
        <v>2</v>
      </c>
      <c r="G6" s="32" t="s">
        <v>0</v>
      </c>
      <c r="H6" s="33" t="s">
        <v>62</v>
      </c>
      <c r="I6" s="34" t="s">
        <v>1</v>
      </c>
      <c r="J6" s="34" t="s">
        <v>2</v>
      </c>
      <c r="L6" s="71" t="s">
        <v>64</v>
      </c>
      <c r="M6" s="71"/>
      <c r="N6" s="71"/>
      <c r="O6" s="71"/>
      <c r="P6" s="71"/>
    </row>
    <row r="7" spans="1:16" x14ac:dyDescent="0.2">
      <c r="B7" s="35">
        <v>45017</v>
      </c>
      <c r="C7" s="31">
        <f>(0.25*4*4)</f>
        <v>4</v>
      </c>
      <c r="D7" s="22" t="s">
        <v>63</v>
      </c>
      <c r="E7" s="46">
        <f>(C7*References!D6)/1000</f>
        <v>1.056E-2</v>
      </c>
      <c r="F7">
        <v>1.1599999999999999E-2</v>
      </c>
      <c r="G7" s="35">
        <v>45383</v>
      </c>
      <c r="H7" s="31">
        <f>(0.25*4*4)</f>
        <v>4</v>
      </c>
      <c r="I7" s="22" t="s">
        <v>63</v>
      </c>
      <c r="J7" s="46">
        <f>(H7*References!D6)/1000</f>
        <v>1.056E-2</v>
      </c>
      <c r="L7" s="71"/>
      <c r="M7" s="71"/>
      <c r="N7" s="71"/>
      <c r="O7" s="71"/>
      <c r="P7" s="71"/>
    </row>
    <row r="8" spans="1:16" x14ac:dyDescent="0.2">
      <c r="B8" s="35">
        <v>45047</v>
      </c>
      <c r="C8" s="31">
        <v>4</v>
      </c>
      <c r="D8" s="22" t="s">
        <v>63</v>
      </c>
      <c r="E8" s="46">
        <f>(C8*References!D6)/1000</f>
        <v>1.056E-2</v>
      </c>
      <c r="F8">
        <v>1.1599999999999999E-2</v>
      </c>
      <c r="G8" s="35">
        <v>45413</v>
      </c>
      <c r="H8" s="31">
        <v>4</v>
      </c>
      <c r="I8" s="22" t="s">
        <v>63</v>
      </c>
      <c r="J8" s="46">
        <f>(H8*References!D6)/1000</f>
        <v>1.056E-2</v>
      </c>
      <c r="L8" s="71"/>
      <c r="M8" s="71"/>
      <c r="N8" s="71"/>
      <c r="O8" s="71"/>
      <c r="P8" s="71"/>
    </row>
    <row r="9" spans="1:16" x14ac:dyDescent="0.2">
      <c r="B9" s="35">
        <v>45078</v>
      </c>
      <c r="C9" s="31">
        <v>4</v>
      </c>
      <c r="D9" s="22" t="s">
        <v>63</v>
      </c>
      <c r="E9" s="46">
        <f>(C9*References!D6)/1000</f>
        <v>1.056E-2</v>
      </c>
      <c r="F9">
        <v>1.1599999999999999E-2</v>
      </c>
      <c r="G9" s="35">
        <v>45444</v>
      </c>
      <c r="H9" s="31">
        <v>4</v>
      </c>
      <c r="I9" s="22" t="s">
        <v>63</v>
      </c>
      <c r="J9" s="46">
        <f>(H9*References!D6)/1000</f>
        <v>1.056E-2</v>
      </c>
      <c r="L9" s="71"/>
      <c r="M9" s="71"/>
      <c r="N9" s="71"/>
      <c r="O9" s="71"/>
      <c r="P9" s="71"/>
    </row>
    <row r="10" spans="1:16" x14ac:dyDescent="0.2">
      <c r="B10" s="35">
        <v>45108</v>
      </c>
      <c r="C10" s="31">
        <v>4</v>
      </c>
      <c r="D10" s="22" t="s">
        <v>63</v>
      </c>
      <c r="E10" s="46">
        <f>(C10*References!D6)/1000</f>
        <v>1.056E-2</v>
      </c>
      <c r="F10">
        <v>1.1599999999999999E-2</v>
      </c>
      <c r="G10" s="35">
        <v>45474</v>
      </c>
      <c r="H10" s="31">
        <v>4</v>
      </c>
      <c r="I10" s="22" t="s">
        <v>63</v>
      </c>
      <c r="J10" s="46">
        <f>(H10*References!D6)/1000</f>
        <v>1.056E-2</v>
      </c>
    </row>
    <row r="11" spans="1:16" x14ac:dyDescent="0.2">
      <c r="B11" s="35">
        <v>45139</v>
      </c>
      <c r="C11" s="31">
        <v>4</v>
      </c>
      <c r="D11" s="22" t="s">
        <v>63</v>
      </c>
      <c r="E11" s="46">
        <f>(C11*References!D6)/1000</f>
        <v>1.056E-2</v>
      </c>
      <c r="F11">
        <v>1.1599999999999999E-2</v>
      </c>
      <c r="G11" s="35">
        <v>45505</v>
      </c>
      <c r="H11" s="31">
        <v>4</v>
      </c>
      <c r="I11" s="22" t="s">
        <v>63</v>
      </c>
      <c r="J11" s="46">
        <f>(H11*References!D6)/1000</f>
        <v>1.056E-2</v>
      </c>
    </row>
    <row r="12" spans="1:16" x14ac:dyDescent="0.2">
      <c r="B12" s="35">
        <v>45170</v>
      </c>
      <c r="C12" s="31">
        <v>4</v>
      </c>
      <c r="D12" s="22" t="s">
        <v>63</v>
      </c>
      <c r="E12" s="46">
        <f>(C12*References!D6)/1000</f>
        <v>1.056E-2</v>
      </c>
      <c r="F12">
        <v>1.1599999999999999E-2</v>
      </c>
      <c r="G12" s="35">
        <v>45536</v>
      </c>
      <c r="H12" s="31">
        <v>4</v>
      </c>
      <c r="I12" s="22" t="s">
        <v>63</v>
      </c>
      <c r="J12" s="46">
        <f>(H12*References!D6)/1000</f>
        <v>1.056E-2</v>
      </c>
    </row>
    <row r="13" spans="1:16" x14ac:dyDescent="0.2">
      <c r="B13" s="35">
        <v>45200</v>
      </c>
      <c r="C13" s="31">
        <v>4</v>
      </c>
      <c r="D13" s="22" t="s">
        <v>63</v>
      </c>
      <c r="E13" s="46">
        <f>(C13*References!D6)/1000</f>
        <v>1.056E-2</v>
      </c>
      <c r="F13">
        <v>1.1599999999999999E-2</v>
      </c>
      <c r="G13" s="35">
        <v>45566</v>
      </c>
      <c r="H13" s="31">
        <v>4</v>
      </c>
      <c r="I13" s="22" t="s">
        <v>63</v>
      </c>
      <c r="J13" s="46">
        <f>(H13*References!D6)/1000</f>
        <v>1.056E-2</v>
      </c>
    </row>
    <row r="14" spans="1:16" x14ac:dyDescent="0.2">
      <c r="B14" s="35">
        <v>45231</v>
      </c>
      <c r="C14" s="31">
        <v>4</v>
      </c>
      <c r="D14" s="22" t="s">
        <v>63</v>
      </c>
      <c r="E14" s="46">
        <f>(C14*References!D6)/1000</f>
        <v>1.056E-2</v>
      </c>
      <c r="F14">
        <v>1.1599999999999999E-2</v>
      </c>
      <c r="G14" s="35">
        <v>45597</v>
      </c>
      <c r="H14" s="31">
        <v>4</v>
      </c>
      <c r="I14" s="22" t="s">
        <v>63</v>
      </c>
      <c r="J14" s="46">
        <f>(H14*References!D6)/1000</f>
        <v>1.056E-2</v>
      </c>
    </row>
    <row r="15" spans="1:16" x14ac:dyDescent="0.2">
      <c r="B15" s="35">
        <v>45261</v>
      </c>
      <c r="C15" s="31">
        <v>4</v>
      </c>
      <c r="D15" s="22" t="s">
        <v>63</v>
      </c>
      <c r="E15" s="46">
        <f>(C15*References!D6)/1000</f>
        <v>1.056E-2</v>
      </c>
      <c r="F15">
        <v>1.1599999999999999E-2</v>
      </c>
      <c r="G15" s="35">
        <v>45627</v>
      </c>
      <c r="H15" s="31">
        <v>4</v>
      </c>
      <c r="I15" s="22" t="s">
        <v>63</v>
      </c>
      <c r="J15" s="46">
        <f>(H15*References!D6)/1000</f>
        <v>1.056E-2</v>
      </c>
    </row>
    <row r="16" spans="1:16" x14ac:dyDescent="0.2">
      <c r="B16" s="35">
        <v>45292</v>
      </c>
      <c r="C16" s="31">
        <v>4</v>
      </c>
      <c r="D16" s="22" t="s">
        <v>63</v>
      </c>
      <c r="E16" s="46">
        <f>(C16*References!D6)/1000</f>
        <v>1.056E-2</v>
      </c>
      <c r="F16">
        <v>1.1599999999999999E-2</v>
      </c>
      <c r="G16" s="35">
        <v>45658</v>
      </c>
      <c r="H16" s="31">
        <v>4</v>
      </c>
      <c r="I16" s="22" t="s">
        <v>63</v>
      </c>
      <c r="J16" s="46">
        <f>(H16*References!D6)/1000</f>
        <v>1.056E-2</v>
      </c>
    </row>
    <row r="17" spans="2:10" x14ac:dyDescent="0.2">
      <c r="B17" s="35">
        <v>45323</v>
      </c>
      <c r="C17" s="31">
        <v>4</v>
      </c>
      <c r="D17" s="22" t="s">
        <v>63</v>
      </c>
      <c r="E17" s="46">
        <f>(C17*References!D6)/1000</f>
        <v>1.056E-2</v>
      </c>
      <c r="F17">
        <v>1.1599999999999999E-2</v>
      </c>
      <c r="G17" s="35">
        <v>45689</v>
      </c>
      <c r="H17" s="31">
        <v>4</v>
      </c>
      <c r="I17" s="22" t="s">
        <v>63</v>
      </c>
      <c r="J17" s="46">
        <f>(H17*References!D6)/1000</f>
        <v>1.056E-2</v>
      </c>
    </row>
    <row r="18" spans="2:10" x14ac:dyDescent="0.2">
      <c r="B18" s="35">
        <v>45352</v>
      </c>
      <c r="C18" s="31">
        <v>4</v>
      </c>
      <c r="D18" s="22" t="s">
        <v>63</v>
      </c>
      <c r="E18" s="46">
        <f>(C18*References!D6)/1000</f>
        <v>1.056E-2</v>
      </c>
      <c r="F18">
        <v>1.1599999999999999E-2</v>
      </c>
      <c r="G18" s="35">
        <v>45717</v>
      </c>
      <c r="H18" s="31">
        <v>4</v>
      </c>
      <c r="I18" s="22" t="s">
        <v>63</v>
      </c>
      <c r="J18" s="46">
        <f>(H18*References!D6)/1000</f>
        <v>1.056E-2</v>
      </c>
    </row>
    <row r="19" spans="2:10" ht="16" x14ac:dyDescent="0.2">
      <c r="B19" s="36" t="s">
        <v>4</v>
      </c>
      <c r="C19" s="37">
        <f>SUM(C7:C18)</f>
        <v>48</v>
      </c>
      <c r="D19" s="37" t="s">
        <v>63</v>
      </c>
      <c r="E19" s="47">
        <f>SUM(E7:E18)</f>
        <v>0.12672</v>
      </c>
      <c r="F19">
        <f>SUM(F7:F18)</f>
        <v>0.13919999999999999</v>
      </c>
      <c r="G19" s="36" t="s">
        <v>4</v>
      </c>
      <c r="H19" s="37">
        <f>SUM(H7:H18)</f>
        <v>48</v>
      </c>
      <c r="I19" s="37" t="s">
        <v>63</v>
      </c>
      <c r="J19" s="47">
        <f>SUM(J7:J18)</f>
        <v>0.12672</v>
      </c>
    </row>
    <row r="21" spans="2:10" x14ac:dyDescent="0.2">
      <c r="D21">
        <f>SUM(F7:F15)</f>
        <v>0.10439999999999999</v>
      </c>
    </row>
    <row r="23" spans="2:10" x14ac:dyDescent="0.2">
      <c r="F23">
        <f>F19*2</f>
        <v>0.27839999999999998</v>
      </c>
      <c r="G23">
        <v>4.8743999999999996</v>
      </c>
    </row>
  </sheetData>
  <mergeCells count="2">
    <mergeCell ref="A4:C4"/>
    <mergeCell ref="L6:P9"/>
  </mergeCells>
  <pageMargins left="0.7" right="0.7" top="0.75" bottom="0.75" header="0.3" footer="0.3"/>
  <headerFooter>
    <oddFooter>&amp;C_x000D_&amp;1#&amp;"Calibri"&amp;10&amp;K000000 Adient –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5172-C9F7-4911-B2E1-C595FA9C9F74}">
  <dimension ref="A1:G6"/>
  <sheetViews>
    <sheetView workbookViewId="0">
      <selection activeCell="G4" sqref="G4"/>
    </sheetView>
  </sheetViews>
  <sheetFormatPr baseColWidth="10" defaultColWidth="8.83203125" defaultRowHeight="15" x14ac:dyDescent="0.2"/>
  <cols>
    <col min="1" max="1" width="5.5" style="17" bestFit="1" customWidth="1"/>
    <col min="2" max="2" width="14.83203125" bestFit="1" customWidth="1"/>
    <col min="3" max="4" width="17" bestFit="1" customWidth="1"/>
    <col min="5" max="5" width="28.1640625" bestFit="1" customWidth="1"/>
    <col min="6" max="6" width="24.6640625" bestFit="1" customWidth="1"/>
    <col min="7" max="7" width="23.6640625" bestFit="1" customWidth="1"/>
  </cols>
  <sheetData>
    <row r="1" spans="1:7" x14ac:dyDescent="0.2">
      <c r="A1" s="23" t="s">
        <v>28</v>
      </c>
      <c r="B1" s="24" t="s">
        <v>38</v>
      </c>
      <c r="C1" s="24" t="s">
        <v>39</v>
      </c>
      <c r="D1" s="24" t="s">
        <v>45</v>
      </c>
      <c r="E1" s="24" t="s">
        <v>44</v>
      </c>
      <c r="F1" s="24" t="s">
        <v>42</v>
      </c>
      <c r="G1" s="24" t="s">
        <v>43</v>
      </c>
    </row>
    <row r="2" spans="1:7" x14ac:dyDescent="0.2">
      <c r="A2" s="22">
        <v>1</v>
      </c>
      <c r="B2" s="20" t="s">
        <v>40</v>
      </c>
      <c r="C2" s="20">
        <v>0</v>
      </c>
      <c r="D2" s="27">
        <f>1*1.2</f>
        <v>1.2</v>
      </c>
      <c r="E2" s="27">
        <f>References!C13</f>
        <v>677</v>
      </c>
      <c r="F2" s="20">
        <f>(D2*C2)/1000</f>
        <v>0</v>
      </c>
      <c r="G2" s="48">
        <f>(E2*D2)/1000</f>
        <v>0.81240000000000001</v>
      </c>
    </row>
    <row r="3" spans="1:7" x14ac:dyDescent="0.2">
      <c r="A3" s="22">
        <v>2</v>
      </c>
      <c r="B3" s="20" t="s">
        <v>40</v>
      </c>
      <c r="C3" s="20">
        <v>0</v>
      </c>
      <c r="D3" s="27">
        <f>1*6</f>
        <v>6</v>
      </c>
      <c r="E3" s="27">
        <f>References!C13</f>
        <v>677</v>
      </c>
      <c r="F3" s="20">
        <f>(D3*C3)/1000</f>
        <v>0</v>
      </c>
      <c r="G3" s="48">
        <f>(E3*D3)/1000</f>
        <v>4.0620000000000003</v>
      </c>
    </row>
    <row r="4" spans="1:7" x14ac:dyDescent="0.2">
      <c r="A4" s="67" t="s">
        <v>41</v>
      </c>
      <c r="B4" s="68"/>
      <c r="C4" s="68"/>
      <c r="D4" s="68"/>
      <c r="E4" s="68"/>
      <c r="F4" s="74"/>
      <c r="G4" s="55">
        <f>SUM(G2:G3)</f>
        <v>4.8744000000000005</v>
      </c>
    </row>
    <row r="5" spans="1:7" x14ac:dyDescent="0.2">
      <c r="A5" s="72" t="s">
        <v>65</v>
      </c>
      <c r="B5" s="73"/>
      <c r="C5" s="73"/>
      <c r="D5" s="73"/>
      <c r="E5" s="73"/>
      <c r="F5" s="73"/>
      <c r="G5" s="73"/>
    </row>
    <row r="6" spans="1:7" x14ac:dyDescent="0.2">
      <c r="A6" s="73"/>
      <c r="B6" s="73"/>
      <c r="C6" s="73"/>
      <c r="D6" s="73"/>
      <c r="E6" s="73"/>
      <c r="F6" s="73"/>
      <c r="G6" s="73"/>
    </row>
  </sheetData>
  <mergeCells count="2">
    <mergeCell ref="A5:G6"/>
    <mergeCell ref="A4:F4"/>
  </mergeCells>
  <pageMargins left="0.7" right="0.7" top="0.75" bottom="0.75" header="0.3" footer="0.3"/>
  <headerFooter>
    <oddFooter>&amp;C_x000D_&amp;1#&amp;"Calibri"&amp;10&amp;K000000 Adient –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104B-7071-4998-A4DA-5E5E31A7609F}">
  <dimension ref="A1:AB19"/>
  <sheetViews>
    <sheetView zoomScale="125" zoomScaleNormal="100" workbookViewId="0">
      <selection activeCell="F5" sqref="F5"/>
    </sheetView>
  </sheetViews>
  <sheetFormatPr baseColWidth="10" defaultColWidth="8.83203125" defaultRowHeight="15" x14ac:dyDescent="0.2"/>
  <cols>
    <col min="2" max="2" width="21.1640625" customWidth="1"/>
    <col min="3" max="4" width="14.33203125" customWidth="1"/>
  </cols>
  <sheetData>
    <row r="1" spans="1:28" ht="36" customHeight="1" x14ac:dyDescent="0.2">
      <c r="A1" s="77" t="s">
        <v>68</v>
      </c>
      <c r="B1" s="77"/>
      <c r="C1" s="77"/>
      <c r="D1" s="77"/>
    </row>
    <row r="2" spans="1:28" ht="46" thickBot="1" x14ac:dyDescent="0.25">
      <c r="A2" s="28" t="s">
        <v>0</v>
      </c>
      <c r="B2" s="29" t="s">
        <v>61</v>
      </c>
      <c r="C2" s="30" t="s">
        <v>1</v>
      </c>
      <c r="D2" s="30" t="s">
        <v>2</v>
      </c>
      <c r="R2" s="75" t="s">
        <v>60</v>
      </c>
      <c r="S2" s="75"/>
      <c r="T2" s="75"/>
      <c r="U2" s="75"/>
      <c r="V2" s="75"/>
      <c r="W2" s="75"/>
      <c r="X2" s="75"/>
      <c r="Y2" s="75"/>
      <c r="Z2" s="75"/>
      <c r="AA2" s="75"/>
      <c r="AB2" s="75"/>
    </row>
    <row r="3" spans="1:28" ht="23" x14ac:dyDescent="0.25">
      <c r="A3" s="1">
        <v>45017</v>
      </c>
      <c r="B3" s="2">
        <v>86370</v>
      </c>
      <c r="C3" s="3" t="s">
        <v>3</v>
      </c>
      <c r="D3" s="4">
        <f>(B3*References!D5)/1000</f>
        <v>62.790990000000001</v>
      </c>
      <c r="E3">
        <v>0.71</v>
      </c>
      <c r="F3">
        <f>B3*E3/1000</f>
        <v>61.322699999999998</v>
      </c>
      <c r="Q3" s="82"/>
    </row>
    <row r="4" spans="1:28" ht="23" x14ac:dyDescent="0.25">
      <c r="A4" s="1">
        <v>45047</v>
      </c>
      <c r="B4" s="2">
        <v>108860</v>
      </c>
      <c r="C4" s="3" t="s">
        <v>3</v>
      </c>
      <c r="D4" s="4">
        <f>(B4*References!D5)/1000</f>
        <v>79.141220000000004</v>
      </c>
      <c r="E4">
        <v>0.71</v>
      </c>
      <c r="F4">
        <f t="shared" ref="F4:F14" si="0">B4*E4/1000</f>
        <v>77.290599999999998</v>
      </c>
      <c r="Q4" s="82"/>
    </row>
    <row r="5" spans="1:28" ht="23" x14ac:dyDescent="0.25">
      <c r="A5" s="1">
        <v>45078</v>
      </c>
      <c r="B5" s="2">
        <v>114070</v>
      </c>
      <c r="C5" s="3" t="s">
        <v>3</v>
      </c>
      <c r="D5" s="4">
        <f>(B5*References!D5)/1000</f>
        <v>82.928889999999996</v>
      </c>
      <c r="E5">
        <v>0.71</v>
      </c>
      <c r="F5">
        <f t="shared" si="0"/>
        <v>80.989699999999999</v>
      </c>
      <c r="Q5" s="82"/>
    </row>
    <row r="6" spans="1:28" x14ac:dyDescent="0.2">
      <c r="A6" s="1">
        <v>45108</v>
      </c>
      <c r="B6" s="81">
        <v>113550</v>
      </c>
      <c r="C6" s="3" t="s">
        <v>3</v>
      </c>
      <c r="D6" s="4">
        <f>(B6*References!D5)/1000</f>
        <v>82.550849999999997</v>
      </c>
      <c r="E6">
        <v>0.71</v>
      </c>
      <c r="F6">
        <f t="shared" si="0"/>
        <v>80.620500000000007</v>
      </c>
    </row>
    <row r="7" spans="1:28" x14ac:dyDescent="0.2">
      <c r="A7" s="1">
        <v>45139</v>
      </c>
      <c r="B7" s="2">
        <v>126170</v>
      </c>
      <c r="C7" s="3" t="s">
        <v>3</v>
      </c>
      <c r="D7" s="4">
        <f>(B7*References!D5)/1000</f>
        <v>91.725589999999997</v>
      </c>
      <c r="E7">
        <v>0.71</v>
      </c>
      <c r="F7">
        <f t="shared" si="0"/>
        <v>89.580699999999993</v>
      </c>
    </row>
    <row r="8" spans="1:28" x14ac:dyDescent="0.2">
      <c r="A8" s="1">
        <v>45170</v>
      </c>
      <c r="B8" s="2">
        <v>115960</v>
      </c>
      <c r="C8" s="3" t="s">
        <v>3</v>
      </c>
      <c r="D8" s="4">
        <f>(B8*References!D5)/1000</f>
        <v>84.30292</v>
      </c>
      <c r="E8">
        <v>0.71</v>
      </c>
      <c r="F8">
        <f t="shared" si="0"/>
        <v>82.331599999999995</v>
      </c>
    </row>
    <row r="9" spans="1:28" x14ac:dyDescent="0.2">
      <c r="A9" s="1">
        <v>45200</v>
      </c>
      <c r="B9" s="2">
        <v>108400</v>
      </c>
      <c r="C9" s="3" t="s">
        <v>3</v>
      </c>
      <c r="D9" s="4">
        <f>(B9*References!D5)/1000</f>
        <v>78.80680000000001</v>
      </c>
      <c r="E9">
        <v>0.71</v>
      </c>
      <c r="F9">
        <f t="shared" si="0"/>
        <v>76.963999999999999</v>
      </c>
    </row>
    <row r="10" spans="1:28" x14ac:dyDescent="0.2">
      <c r="A10" s="1">
        <v>45231</v>
      </c>
      <c r="B10" s="2">
        <v>101460</v>
      </c>
      <c r="C10" s="3" t="s">
        <v>3</v>
      </c>
      <c r="D10" s="4">
        <f>(B10*References!D5)/1000</f>
        <v>73.761420000000001</v>
      </c>
      <c r="E10">
        <v>0.71</v>
      </c>
      <c r="F10">
        <f t="shared" si="0"/>
        <v>72.036599999999993</v>
      </c>
    </row>
    <row r="11" spans="1:28" x14ac:dyDescent="0.2">
      <c r="A11" s="1">
        <v>45261</v>
      </c>
      <c r="B11" s="2">
        <v>117700</v>
      </c>
      <c r="C11" s="3" t="s">
        <v>3</v>
      </c>
      <c r="D11" s="4">
        <f>(B11*References!D5)/1000</f>
        <v>85.567899999999995</v>
      </c>
      <c r="E11">
        <v>0.71</v>
      </c>
      <c r="F11">
        <f t="shared" si="0"/>
        <v>83.566999999999993</v>
      </c>
    </row>
    <row r="12" spans="1:28" x14ac:dyDescent="0.2">
      <c r="A12" s="1">
        <v>45292</v>
      </c>
      <c r="B12" s="2">
        <v>112030</v>
      </c>
      <c r="C12" s="3" t="s">
        <v>3</v>
      </c>
      <c r="D12" s="4">
        <f>(B12*References!D5)/1000</f>
        <v>81.445809999999994</v>
      </c>
      <c r="E12">
        <v>0.71</v>
      </c>
      <c r="F12">
        <f t="shared" si="0"/>
        <v>79.541300000000007</v>
      </c>
    </row>
    <row r="13" spans="1:28" x14ac:dyDescent="0.2">
      <c r="A13" s="1">
        <v>45323</v>
      </c>
      <c r="B13" s="2">
        <v>103770</v>
      </c>
      <c r="C13" s="3" t="s">
        <v>3</v>
      </c>
      <c r="D13" s="4">
        <f>(B13*References!D5)/1000</f>
        <v>75.440789999999993</v>
      </c>
      <c r="E13">
        <v>0.71</v>
      </c>
      <c r="F13">
        <f t="shared" si="0"/>
        <v>73.676699999999997</v>
      </c>
    </row>
    <row r="14" spans="1:28" ht="16" thickBot="1" x14ac:dyDescent="0.25">
      <c r="A14" s="1">
        <v>45352</v>
      </c>
      <c r="B14" s="2">
        <v>117410</v>
      </c>
      <c r="C14" s="5" t="s">
        <v>3</v>
      </c>
      <c r="D14" s="4">
        <f>(B14*References!D5)/1000</f>
        <v>85.357069999999993</v>
      </c>
      <c r="E14">
        <v>0.71</v>
      </c>
      <c r="F14">
        <f t="shared" si="0"/>
        <v>83.361099999999993</v>
      </c>
    </row>
    <row r="15" spans="1:28" ht="16" x14ac:dyDescent="0.2">
      <c r="A15" s="49" t="s">
        <v>4</v>
      </c>
      <c r="B15" s="50">
        <f>SUM(B3:B14)</f>
        <v>1325750</v>
      </c>
      <c r="C15" s="51" t="s">
        <v>3</v>
      </c>
      <c r="D15" s="52">
        <f>SUM(D3:D14)</f>
        <v>963.8202500000001</v>
      </c>
      <c r="F15">
        <f>SUM(F3:F14)</f>
        <v>941.28249999999991</v>
      </c>
      <c r="G15">
        <f>SUM(F3:F11)</f>
        <v>704.70339999999999</v>
      </c>
      <c r="I15">
        <v>941.28</v>
      </c>
    </row>
    <row r="16" spans="1:28" ht="14.5" customHeight="1" x14ac:dyDescent="0.2">
      <c r="A16" s="76" t="s">
        <v>73</v>
      </c>
      <c r="B16" s="76"/>
      <c r="C16" s="76"/>
      <c r="D16" s="76"/>
      <c r="G16">
        <f>F12+F13+F14</f>
        <v>236.57910000000001</v>
      </c>
    </row>
    <row r="17" spans="1:4" x14ac:dyDescent="0.2">
      <c r="A17" s="76"/>
      <c r="B17" s="76"/>
      <c r="C17" s="76"/>
      <c r="D17" s="76"/>
    </row>
    <row r="18" spans="1:4" x14ac:dyDescent="0.2">
      <c r="A18" s="76"/>
      <c r="B18" s="76"/>
      <c r="C18" s="76"/>
      <c r="D18" s="76"/>
    </row>
    <row r="19" spans="1:4" x14ac:dyDescent="0.2">
      <c r="A19" s="76"/>
      <c r="B19" s="76"/>
      <c r="C19" s="76"/>
      <c r="D19" s="76"/>
    </row>
  </sheetData>
  <mergeCells count="3">
    <mergeCell ref="R2:AB2"/>
    <mergeCell ref="A16:D19"/>
    <mergeCell ref="A1:D1"/>
  </mergeCells>
  <pageMargins left="0.7" right="0.7" top="0.75" bottom="0.75" header="0.3" footer="0.3"/>
  <headerFooter>
    <oddFooter>&amp;C_x000D_&amp;1#&amp;"Calibri"&amp;10&amp;K000000 Adient – INTERNAL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C07C-077F-4C7C-9ED7-1D87CFA3DF64}">
  <dimension ref="A1:AA19"/>
  <sheetViews>
    <sheetView tabSelected="1" zoomScale="125" zoomScaleNormal="100" workbookViewId="0">
      <selection activeCell="F16" sqref="F16"/>
    </sheetView>
  </sheetViews>
  <sheetFormatPr baseColWidth="10" defaultColWidth="8.83203125" defaultRowHeight="15" x14ac:dyDescent="0.2"/>
  <cols>
    <col min="2" max="2" width="17.5" customWidth="1"/>
  </cols>
  <sheetData>
    <row r="1" spans="1:27" ht="25" customHeight="1" x14ac:dyDescent="0.2">
      <c r="A1" s="79" t="s">
        <v>69</v>
      </c>
      <c r="B1" s="79"/>
      <c r="C1" s="79"/>
      <c r="D1" s="79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27" ht="46" thickBot="1" x14ac:dyDescent="0.25">
      <c r="A2" s="28" t="s">
        <v>0</v>
      </c>
      <c r="B2" s="29" t="s">
        <v>61</v>
      </c>
      <c r="C2" s="30" t="s">
        <v>1</v>
      </c>
      <c r="D2" s="30" t="s">
        <v>2</v>
      </c>
      <c r="Q2" s="75" t="s">
        <v>60</v>
      </c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1:27" x14ac:dyDescent="0.2">
      <c r="A3" s="1">
        <v>45383</v>
      </c>
      <c r="B3" s="31">
        <v>88510</v>
      </c>
      <c r="C3" s="3" t="s">
        <v>3</v>
      </c>
      <c r="D3" s="4">
        <f>(B3*References!D5)/1000</f>
        <v>64.346769999999992</v>
      </c>
      <c r="E3">
        <v>0.71</v>
      </c>
      <c r="F3">
        <f>B3*E3/1000</f>
        <v>62.842100000000002</v>
      </c>
    </row>
    <row r="4" spans="1:27" x14ac:dyDescent="0.2">
      <c r="A4" s="1">
        <v>45413</v>
      </c>
      <c r="B4" s="31">
        <v>100090</v>
      </c>
      <c r="C4" s="3" t="s">
        <v>3</v>
      </c>
      <c r="D4" s="4">
        <f>(B4*References!D5)/1000</f>
        <v>72.765429999999995</v>
      </c>
      <c r="E4">
        <v>0.71</v>
      </c>
      <c r="F4">
        <f t="shared" ref="F4:F14" si="0">B4*E4/1000</f>
        <v>71.06389999999999</v>
      </c>
    </row>
    <row r="5" spans="1:27" x14ac:dyDescent="0.2">
      <c r="A5" s="1">
        <v>45444</v>
      </c>
      <c r="B5" s="31">
        <v>104370</v>
      </c>
      <c r="C5" s="3" t="s">
        <v>3</v>
      </c>
      <c r="D5" s="4">
        <f>(B5*References!D5)/1000</f>
        <v>75.876989999999992</v>
      </c>
      <c r="E5">
        <v>0.71</v>
      </c>
      <c r="F5">
        <f t="shared" si="0"/>
        <v>74.102699999999999</v>
      </c>
    </row>
    <row r="6" spans="1:27" x14ac:dyDescent="0.2">
      <c r="A6" s="1">
        <v>45474</v>
      </c>
      <c r="B6" s="31">
        <v>101240</v>
      </c>
      <c r="C6" s="3" t="s">
        <v>3</v>
      </c>
      <c r="D6" s="4">
        <f>(B6*References!D5)/1000</f>
        <v>73.601479999999995</v>
      </c>
      <c r="E6">
        <v>0.71</v>
      </c>
      <c r="F6">
        <f t="shared" si="0"/>
        <v>71.880399999999995</v>
      </c>
    </row>
    <row r="7" spans="1:27" x14ac:dyDescent="0.2">
      <c r="A7" s="1">
        <v>45505</v>
      </c>
      <c r="B7" s="31">
        <v>81170</v>
      </c>
      <c r="C7" s="3" t="s">
        <v>3</v>
      </c>
      <c r="D7" s="4">
        <f>(B7*References!D5)/1000</f>
        <v>59.010589999999993</v>
      </c>
      <c r="E7">
        <v>0.71</v>
      </c>
      <c r="F7">
        <f t="shared" si="0"/>
        <v>57.630699999999997</v>
      </c>
    </row>
    <row r="8" spans="1:27" x14ac:dyDescent="0.2">
      <c r="A8" s="1">
        <v>45536</v>
      </c>
      <c r="B8" s="31">
        <v>78440</v>
      </c>
      <c r="C8" s="3" t="s">
        <v>3</v>
      </c>
      <c r="D8" s="4">
        <f>(B8*References!D5)/1000</f>
        <v>57.025880000000001</v>
      </c>
      <c r="E8">
        <v>0.71</v>
      </c>
      <c r="F8">
        <f t="shared" si="0"/>
        <v>55.692399999999992</v>
      </c>
    </row>
    <row r="9" spans="1:27" x14ac:dyDescent="0.2">
      <c r="A9" s="53">
        <v>45566</v>
      </c>
      <c r="B9" s="31">
        <v>72530</v>
      </c>
      <c r="C9" s="54" t="s">
        <v>3</v>
      </c>
      <c r="D9" s="4">
        <f>(B9*References!D5)/1000</f>
        <v>52.729309999999998</v>
      </c>
      <c r="E9">
        <v>0.71</v>
      </c>
      <c r="F9">
        <f t="shared" si="0"/>
        <v>51.496299999999998</v>
      </c>
    </row>
    <row r="10" spans="1:27" x14ac:dyDescent="0.2">
      <c r="A10" s="53">
        <v>45597</v>
      </c>
      <c r="B10" s="31">
        <v>86890</v>
      </c>
      <c r="C10" s="54" t="s">
        <v>3</v>
      </c>
      <c r="D10" s="4">
        <f>(B10*References!D5)/1000</f>
        <v>63.169029999999999</v>
      </c>
      <c r="E10">
        <v>0.71</v>
      </c>
      <c r="F10">
        <f t="shared" si="0"/>
        <v>61.691899999999997</v>
      </c>
    </row>
    <row r="11" spans="1:27" x14ac:dyDescent="0.2">
      <c r="A11" s="53">
        <v>45627</v>
      </c>
      <c r="B11" s="31">
        <v>90760</v>
      </c>
      <c r="C11" s="54" t="s">
        <v>3</v>
      </c>
      <c r="D11" s="4">
        <f>(B11*References!D5)/1000</f>
        <v>65.982520000000008</v>
      </c>
      <c r="E11">
        <v>0.71</v>
      </c>
      <c r="F11">
        <f t="shared" si="0"/>
        <v>64.439599999999999</v>
      </c>
    </row>
    <row r="12" spans="1:27" x14ac:dyDescent="0.2">
      <c r="A12" s="53">
        <v>45658</v>
      </c>
      <c r="B12" s="31">
        <v>92250</v>
      </c>
      <c r="C12" s="54" t="s">
        <v>3</v>
      </c>
      <c r="D12" s="4">
        <f>(B12*References!D5)/1000</f>
        <v>67.065749999999994</v>
      </c>
      <c r="E12">
        <v>0.71</v>
      </c>
      <c r="F12">
        <f t="shared" si="0"/>
        <v>65.497500000000002</v>
      </c>
    </row>
    <row r="13" spans="1:27" x14ac:dyDescent="0.2">
      <c r="A13" s="1">
        <v>45689</v>
      </c>
      <c r="B13" s="31">
        <v>105030</v>
      </c>
      <c r="C13" s="3" t="s">
        <v>3</v>
      </c>
      <c r="D13" s="4">
        <f>(B13*References!D5)/1000</f>
        <v>76.356809999999996</v>
      </c>
      <c r="E13">
        <v>0.71</v>
      </c>
      <c r="F13">
        <f t="shared" si="0"/>
        <v>74.571300000000008</v>
      </c>
    </row>
    <row r="14" spans="1:27" ht="16" thickBot="1" x14ac:dyDescent="0.25">
      <c r="A14" s="1">
        <v>45717</v>
      </c>
      <c r="B14" s="31">
        <v>110080</v>
      </c>
      <c r="C14" s="5" t="s">
        <v>3</v>
      </c>
      <c r="D14" s="4">
        <f>(B14*References!D5)/1000</f>
        <v>80.02816</v>
      </c>
      <c r="E14">
        <v>0.71</v>
      </c>
      <c r="F14">
        <f t="shared" si="0"/>
        <v>78.156800000000004</v>
      </c>
    </row>
    <row r="15" spans="1:27" ht="16" x14ac:dyDescent="0.2">
      <c r="A15" s="49" t="s">
        <v>4</v>
      </c>
      <c r="B15" s="50">
        <f>SUM(B3:B14)</f>
        <v>1111360</v>
      </c>
      <c r="C15" s="51" t="s">
        <v>3</v>
      </c>
      <c r="D15" s="52">
        <f>SUM(D3:D14)</f>
        <v>807.95871999999986</v>
      </c>
      <c r="F15">
        <f>SUM(F3:F14)</f>
        <v>789.0655999999999</v>
      </c>
    </row>
    <row r="16" spans="1:27" ht="14.5" customHeight="1" x14ac:dyDescent="0.2">
      <c r="A16" s="76" t="s">
        <v>74</v>
      </c>
      <c r="B16" s="76"/>
      <c r="C16" s="76"/>
      <c r="D16" s="76"/>
    </row>
    <row r="17" spans="1:4" x14ac:dyDescent="0.2">
      <c r="A17" s="76"/>
      <c r="B17" s="76"/>
      <c r="C17" s="76"/>
      <c r="D17" s="76"/>
    </row>
    <row r="18" spans="1:4" x14ac:dyDescent="0.2">
      <c r="A18" s="76"/>
      <c r="B18" s="76"/>
      <c r="C18" s="76"/>
      <c r="D18" s="76"/>
    </row>
    <row r="19" spans="1:4" x14ac:dyDescent="0.2">
      <c r="A19" s="76"/>
      <c r="B19" s="76"/>
      <c r="C19" s="76"/>
      <c r="D19" s="76"/>
    </row>
  </sheetData>
  <mergeCells count="4">
    <mergeCell ref="F1:P1"/>
    <mergeCell ref="Q2:AA2"/>
    <mergeCell ref="A16:D19"/>
    <mergeCell ref="A1:D1"/>
  </mergeCells>
  <pageMargins left="0.7" right="0.7" top="0.75" bottom="0.75" header="0.3" footer="0.3"/>
  <headerFooter>
    <oddFooter>&amp;C_x000D_&amp;1#&amp;"Calibri"&amp;10&amp;K000000 Adient – INTERNAL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4061-2E8E-4876-BD9B-8734A6BB944E}">
  <dimension ref="A1:G13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16.1640625" bestFit="1" customWidth="1"/>
    <col min="3" max="4" width="9.5" bestFit="1" customWidth="1"/>
    <col min="7" max="7" width="20" customWidth="1"/>
  </cols>
  <sheetData>
    <row r="1" spans="1:7" x14ac:dyDescent="0.2">
      <c r="A1" s="80" t="s">
        <v>70</v>
      </c>
      <c r="B1" s="80"/>
      <c r="C1" s="80"/>
      <c r="D1" s="80"/>
      <c r="E1" s="80"/>
      <c r="F1" s="80"/>
      <c r="G1" s="80"/>
    </row>
    <row r="2" spans="1:7" x14ac:dyDescent="0.2">
      <c r="A2" s="80"/>
      <c r="B2" s="80"/>
      <c r="C2" s="80"/>
      <c r="D2" s="80"/>
      <c r="E2" s="80"/>
      <c r="F2" s="80"/>
      <c r="G2" s="80"/>
    </row>
    <row r="3" spans="1:7" ht="17" x14ac:dyDescent="0.25">
      <c r="A3" s="18" t="s">
        <v>5</v>
      </c>
      <c r="B3" s="19" t="s">
        <v>1</v>
      </c>
      <c r="C3" s="19" t="s">
        <v>6</v>
      </c>
      <c r="D3" s="19" t="s">
        <v>7</v>
      </c>
      <c r="E3" s="19" t="s">
        <v>8</v>
      </c>
      <c r="F3" s="19" t="s">
        <v>9</v>
      </c>
      <c r="G3" s="19" t="s">
        <v>10</v>
      </c>
    </row>
    <row r="4" spans="1:7" x14ac:dyDescent="0.2">
      <c r="A4" s="6" t="s">
        <v>11</v>
      </c>
      <c r="B4" s="7" t="s">
        <v>12</v>
      </c>
      <c r="C4" s="9">
        <v>2.9860000000000002</v>
      </c>
      <c r="D4" s="9">
        <v>2.984</v>
      </c>
      <c r="E4" s="9">
        <v>1.32E-3</v>
      </c>
      <c r="F4" s="9">
        <v>1.25E-3</v>
      </c>
      <c r="G4" s="6" t="s">
        <v>13</v>
      </c>
    </row>
    <row r="5" spans="1:7" x14ac:dyDescent="0.2">
      <c r="A5" s="6" t="s">
        <v>14</v>
      </c>
      <c r="B5" s="7" t="s">
        <v>15</v>
      </c>
      <c r="C5" s="8">
        <v>0.72699999999999998</v>
      </c>
      <c r="D5" s="8">
        <v>0.72699999999999998</v>
      </c>
      <c r="E5" s="9">
        <v>0</v>
      </c>
      <c r="F5" s="9">
        <v>0</v>
      </c>
      <c r="G5" s="6" t="s">
        <v>27</v>
      </c>
    </row>
    <row r="6" spans="1:7" x14ac:dyDescent="0.2">
      <c r="A6" s="6" t="s">
        <v>16</v>
      </c>
      <c r="B6" s="7" t="s">
        <v>17</v>
      </c>
      <c r="C6" s="10">
        <v>2.649</v>
      </c>
      <c r="D6" s="10">
        <v>2.64</v>
      </c>
      <c r="E6" s="10">
        <v>2.9880000000000002E-3</v>
      </c>
      <c r="F6" s="10">
        <v>5.6699999999999997E-3</v>
      </c>
      <c r="G6" s="6" t="s">
        <v>13</v>
      </c>
    </row>
    <row r="7" spans="1:7" x14ac:dyDescent="0.2">
      <c r="A7" s="6" t="s">
        <v>18</v>
      </c>
      <c r="B7" s="7" t="s">
        <v>17</v>
      </c>
      <c r="C7" s="10">
        <v>2.3719999999999999</v>
      </c>
      <c r="D7" s="10">
        <v>2.3639999999999999</v>
      </c>
      <c r="E7" s="10">
        <v>2.8600000000000001E-3</v>
      </c>
      <c r="F7" s="10">
        <v>5.3E-3</v>
      </c>
      <c r="G7" s="6" t="s">
        <v>13</v>
      </c>
    </row>
    <row r="8" spans="1:7" x14ac:dyDescent="0.2">
      <c r="A8" s="6" t="s">
        <v>19</v>
      </c>
      <c r="B8" s="7" t="s">
        <v>12</v>
      </c>
      <c r="C8" s="10">
        <v>1.5322102000000002</v>
      </c>
      <c r="D8" s="10">
        <v>1.5317100000000001</v>
      </c>
      <c r="E8" s="21">
        <v>4.4225000000000004E-4</v>
      </c>
      <c r="F8" s="10">
        <v>5.7949999999999999E-5</v>
      </c>
      <c r="G8" s="6" t="s">
        <v>20</v>
      </c>
    </row>
    <row r="9" spans="1:7" ht="16" x14ac:dyDescent="0.2">
      <c r="A9" s="11" t="s">
        <v>21</v>
      </c>
      <c r="B9" s="7" t="s">
        <v>12</v>
      </c>
      <c r="C9" s="12">
        <v>0.73440000000000005</v>
      </c>
      <c r="D9" s="12">
        <v>0.73440000000000005</v>
      </c>
      <c r="E9" s="12">
        <v>0</v>
      </c>
      <c r="F9" s="12">
        <v>0</v>
      </c>
      <c r="G9" s="6" t="s">
        <v>22</v>
      </c>
    </row>
    <row r="10" spans="1:7" ht="16" x14ac:dyDescent="0.2">
      <c r="A10" s="11" t="s">
        <v>23</v>
      </c>
      <c r="B10" s="7" t="s">
        <v>24</v>
      </c>
      <c r="C10" s="13">
        <v>1.8580000000000001E-3</v>
      </c>
      <c r="D10" s="13">
        <v>1.8580000000000001E-3</v>
      </c>
      <c r="E10" s="12">
        <v>0</v>
      </c>
      <c r="F10" s="12">
        <v>0</v>
      </c>
      <c r="G10" s="6" t="s">
        <v>22</v>
      </c>
    </row>
    <row r="11" spans="1:7" ht="16" x14ac:dyDescent="0.2">
      <c r="A11" s="11" t="s">
        <v>25</v>
      </c>
      <c r="B11" s="7" t="s">
        <v>17</v>
      </c>
      <c r="C11" s="14">
        <v>2.53627</v>
      </c>
      <c r="D11" s="14">
        <v>2.5237699999999998</v>
      </c>
      <c r="E11" s="14">
        <v>6.2100000000000002E-3</v>
      </c>
      <c r="F11" s="14">
        <v>6.2899999999999996E-3</v>
      </c>
      <c r="G11" s="6"/>
    </row>
    <row r="12" spans="1:7" ht="40" x14ac:dyDescent="0.2">
      <c r="A12" s="11" t="s">
        <v>26</v>
      </c>
      <c r="B12" s="15" t="s">
        <v>12</v>
      </c>
      <c r="C12" s="14">
        <f>D12</f>
        <v>2.4407000000000001</v>
      </c>
      <c r="D12" s="14">
        <v>2.4407000000000001</v>
      </c>
      <c r="E12" s="14">
        <v>0</v>
      </c>
      <c r="F12" s="14">
        <v>0</v>
      </c>
      <c r="G12" s="16" t="s">
        <v>72</v>
      </c>
    </row>
    <row r="13" spans="1:7" ht="16" x14ac:dyDescent="0.2">
      <c r="A13" s="11" t="s">
        <v>71</v>
      </c>
      <c r="B13" s="20" t="s">
        <v>58</v>
      </c>
      <c r="C13" s="27">
        <v>677</v>
      </c>
      <c r="D13" s="27">
        <v>677</v>
      </c>
      <c r="E13" s="14">
        <v>0</v>
      </c>
      <c r="F13" s="14">
        <v>0</v>
      </c>
      <c r="G13" s="20" t="s">
        <v>59</v>
      </c>
    </row>
  </sheetData>
  <mergeCells count="1">
    <mergeCell ref="A1:G2"/>
  </mergeCells>
  <pageMargins left="0.7" right="0.7" top="0.75" bottom="0.75" header="0.3" footer="0.3"/>
  <headerFooter>
    <oddFooter>&amp;C_x000D_&amp;1#&amp;"Calibri"&amp;10&amp;K000000 Adient –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Sheet</vt:lpstr>
      <vt:lpstr>Scope 1 Emissions</vt:lpstr>
      <vt:lpstr>Scope 1 CO2 Fire Extinguisher</vt:lpstr>
      <vt:lpstr>Scope 1 Stationary Combustion</vt:lpstr>
      <vt:lpstr>Scope 1 Refrigerent</vt:lpstr>
      <vt:lpstr>Scope 2 Emissions FY23-24</vt:lpstr>
      <vt:lpstr>Scope 2 Emissions FY24-25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K.R Murugesh Kumar</dc:creator>
  <cp:lastModifiedBy>Somil Goyal</cp:lastModifiedBy>
  <dcterms:created xsi:type="dcterms:W3CDTF">2025-09-05T08:42:57Z</dcterms:created>
  <dcterms:modified xsi:type="dcterms:W3CDTF">2026-03-10T05:47:55Z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7c177-921f-4c67-aad2-9844fb8189cd_Enabled">
    <vt:lpwstr>true</vt:lpwstr>
  </property>
  <property fmtid="{D5CDD505-2E9C-101B-9397-08002B2CF9AE}" pid="3" name="MSIP_Label_dd77c177-921f-4c67-aad2-9844fb8189cd_SetDate">
    <vt:lpwstr>2025-09-05T09:19:06Z</vt:lpwstr>
  </property>
  <property fmtid="{D5CDD505-2E9C-101B-9397-08002B2CF9AE}" pid="4" name="MSIP_Label_dd77c177-921f-4c67-aad2-9844fb8189cd_Method">
    <vt:lpwstr>Standard</vt:lpwstr>
  </property>
  <property fmtid="{D5CDD505-2E9C-101B-9397-08002B2CF9AE}" pid="5" name="MSIP_Label_dd77c177-921f-4c67-aad2-9844fb8189cd_Name">
    <vt:lpwstr>dd77c177-921f-4c67-aad2-9844fb8189cd</vt:lpwstr>
  </property>
  <property fmtid="{D5CDD505-2E9C-101B-9397-08002B2CF9AE}" pid="6" name="MSIP_Label_dd77c177-921f-4c67-aad2-9844fb8189cd_SiteId">
    <vt:lpwstr>21f195bc-13e5-4339-82ea-ef8b8ecdd0a9</vt:lpwstr>
  </property>
  <property fmtid="{D5CDD505-2E9C-101B-9397-08002B2CF9AE}" pid="7" name="MSIP_Label_dd77c177-921f-4c67-aad2-9844fb8189cd_ActionId">
    <vt:lpwstr>b1fb10b8-f335-4280-b0dc-9003e7eadf2a</vt:lpwstr>
  </property>
  <property fmtid="{D5CDD505-2E9C-101B-9397-08002B2CF9AE}" pid="8" name="MSIP_Label_dd77c177-921f-4c67-aad2-9844fb8189cd_ContentBits">
    <vt:lpwstr>2</vt:lpwstr>
  </property>
  <property fmtid="{D5CDD505-2E9C-101B-9397-08002B2CF9AE}" pid="9" name="MSIP_Label_dd77c177-921f-4c67-aad2-9844fb8189cd_Tag">
    <vt:lpwstr>10, 3, 0, 1</vt:lpwstr>
  </property>
</Properties>
</file>